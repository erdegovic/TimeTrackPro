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/>
  <calcPr/>
</workbook>
</file>

<file path=xl/sharedStrings.xml><?xml version="1.0" encoding="utf-8"?>
<sst xmlns="http://schemas.openxmlformats.org/spreadsheetml/2006/main" count="42" uniqueCount="41">
  <si>
    <t>AE Productions</t>
  </si>
  <si>
    <t>Attila Ordog</t>
  </si>
  <si>
    <t>Pavla Bakica 12</t>
  </si>
  <si>
    <t>erdegovic@gmail.com</t>
  </si>
  <si>
    <t>21107</t>
  </si>
  <si>
    <t>www.aerdeg.com</t>
  </si>
  <si>
    <t>Novi Sad</t>
  </si>
  <si>
    <t>INOVICE TO</t>
  </si>
  <si>
    <t>Newbold College</t>
  </si>
  <si>
    <t xml:space="preserve">St Mark's Rd, </t>
  </si>
  <si>
    <t>Bracknell RG42 4AN</t>
  </si>
  <si>
    <t>United Kingdom</t>
  </si>
  <si>
    <t>Invoice</t>
  </si>
  <si>
    <t>DESCRIPTION</t>
  </si>
  <si>
    <t>HOURS</t>
  </si>
  <si>
    <t>AMOUNT</t>
  </si>
  <si>
    <t>INVOICE NUMBER</t>
  </si>
  <si>
    <t>WEEK 1</t>
  </si>
  <si>
    <t>20283</t>
  </si>
  <si>
    <t>News update</t>
  </si>
  <si>
    <t>INVOICE DATE</t>
  </si>
  <si>
    <t>New slider template</t>
  </si>
  <si>
    <t>5/5/2025</t>
  </si>
  <si>
    <t>Professional Development for Pastors - video upload to youtube and website</t>
  </si>
  <si>
    <t>WEEK 2</t>
  </si>
  <si>
    <t>CES Summer</t>
  </si>
  <si>
    <t>Meeting with Lubi</t>
  </si>
  <si>
    <t>Developing the Strategy page</t>
  </si>
  <si>
    <t>Website updates</t>
  </si>
  <si>
    <t>Updating the governance page</t>
  </si>
  <si>
    <t>WEEK 3</t>
  </si>
  <si>
    <t>Website updates &amp; fixes</t>
  </si>
  <si>
    <t>WEEK 4</t>
  </si>
  <si>
    <t>AJAX integration to forms</t>
  </si>
  <si>
    <t>HOURLY RATE</t>
  </si>
  <si>
    <t>TOTAL HOURS</t>
  </si>
  <si>
    <t>INVOICE TOTAL</t>
  </si>
  <si>
    <t>BANK ACCOUNT DETAILS</t>
  </si>
  <si>
    <r>
      <rPr>
        <rFont val="Arial"/>
        <b/>
        <color rgb="FF000000"/>
        <sz val="11.0"/>
      </rPr>
      <t>Account holder:</t>
    </r>
    <r>
      <rPr>
        <rFont val="Arial"/>
        <color rgb="FF000000"/>
        <sz val="11.0"/>
      </rPr>
      <t xml:space="preserve"> Attila Ordog</t>
    </r>
  </si>
  <si>
    <r>
      <rPr>
        <rFont val="Arial"/>
        <b/>
        <color rgb="FF000000"/>
        <sz val="11.0"/>
      </rPr>
      <t>Sort Code:</t>
    </r>
    <r>
      <rPr>
        <rFont val="Arial"/>
        <color rgb="FF000000"/>
        <sz val="11.0"/>
      </rPr>
      <t xml:space="preserve"> 23-14-70</t>
    </r>
  </si>
  <si>
    <r>
      <rPr>
        <rFont val="Arial"/>
        <b/>
        <color rgb="FF000000"/>
        <sz val="11.0"/>
      </rPr>
      <t>Account Number:</t>
    </r>
    <r>
      <rPr>
        <rFont val="Arial"/>
        <color rgb="FF000000"/>
        <sz val="11.0"/>
      </rPr>
      <t xml:space="preserve"> 86396008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</si>
</sst>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]#,##0.00"/>
    <numFmt numFmtId="165" formatCode="&quot;$&quot;#,##0.00"/>
  </numFmts>
  <fonts count="26">
    <font>
      <sz val="10.0"/>
      <color rgb="FF000000"/>
      <name val="Calibri"/>
      <scheme val="minor"/>
    </font>
    <font>
      <sz val="10.0"/>
      <color rgb="FF666666"/>
      <name val="Roboto"/>
    </font>
    <font/>
    <font>
      <sz val="10.0"/>
      <color theme="1"/>
      <name val="Roboto"/>
    </font>
    <font>
      <b/>
      <sz val="24.0"/>
      <color rgb="FF5D7079"/>
      <name val="Arial"/>
    </font>
    <font>
      <sz val="10.0"/>
      <color rgb="FF6D64E8"/>
      <name val="Roboto"/>
    </font>
    <font>
      <b/>
      <sz val="24.0"/>
      <color rgb="FF000000"/>
      <name val="Arial"/>
    </font>
    <font>
      <sz val="11.0"/>
      <color rgb="FF000000"/>
      <name val="Arial"/>
    </font>
    <font>
      <u/>
      <sz val="11.0"/>
      <color rgb="FF0000FF"/>
      <name val="Arial"/>
    </font>
    <font>
      <sz val="11.0"/>
      <color rgb="FF000000"/>
      <name val="Roboto"/>
    </font>
    <font>
      <sz val="10.0"/>
      <color rgb="FF000000"/>
      <name val="Roboto"/>
    </font>
    <font>
      <sz val="11.0"/>
      <color rgb="FF666666"/>
      <name val="Roboto"/>
    </font>
    <font>
      <b/>
      <sz val="16.0"/>
      <color rgb="FF5D7079"/>
      <name val="Arial"/>
    </font>
    <font>
      <b/>
      <sz val="13.0"/>
      <color rgb="FF000000"/>
      <name val="Arial"/>
    </font>
    <font>
      <sz val="10.0"/>
      <color rgb="FF000000"/>
      <name val="Arial"/>
    </font>
    <font>
      <sz val="11.0"/>
      <color rgb="FF4E535C"/>
      <name val="Arial"/>
    </font>
    <font>
      <sz val="11.0"/>
      <color theme="1"/>
      <name val="Roboto"/>
    </font>
    <font>
      <b/>
      <sz val="11.0"/>
      <color rgb="FFFFFFFF"/>
      <name val="Arial"/>
    </font>
    <font>
      <b/>
      <sz val="11.0"/>
      <color rgb="FF5D7079"/>
      <name val="Arial"/>
    </font>
    <font>
      <b/>
      <sz val="11.0"/>
      <color rgb="FF999999"/>
      <name val="Arial"/>
    </font>
    <font>
      <sz val="11.0"/>
      <color theme="1"/>
      <name val="Arial"/>
    </font>
    <font>
      <sz val="13.0"/>
      <color theme="1"/>
      <name val="Roboto"/>
    </font>
    <font>
      <color theme="1"/>
      <name val="Calibri"/>
    </font>
    <font>
      <sz val="11.0"/>
      <color rgb="FF5D7079"/>
      <name val="Arial"/>
    </font>
    <font>
      <sz val="24.0"/>
      <color rgb="FF4E535C"/>
      <name val="Arial"/>
    </font>
    <font>
      <sz val="18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FB8FA"/>
        <bgColor rgb="FF4FB8FA"/>
      </patternFill>
    </fill>
    <fill>
      <patternFill patternType="solid">
        <fgColor rgb="FFCFE2F3"/>
        <bgColor rgb="FFCFE2F3"/>
      </patternFill>
    </fill>
    <fill>
      <patternFill patternType="solid">
        <fgColor rgb="FFF2F5F7"/>
        <bgColor rgb="FFF2F5F7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ck">
        <color rgb="FFFFFFFF"/>
      </bottom>
    </border>
    <border>
      <left/>
      <top/>
      <bottom style="thick">
        <color rgb="FFFFFFFF"/>
      </bottom>
    </border>
    <border>
      <right/>
      <top/>
      <bottom style="thick">
        <color rgb="FFFFFFFF"/>
      </bottom>
    </border>
    <border>
      <left/>
      <top/>
    </border>
    <border>
      <right/>
      <top/>
    </border>
    <border>
      <left/>
      <right/>
      <top/>
    </border>
    <border>
      <left/>
      <bottom style="thick">
        <color rgb="FFFFFFFF"/>
      </bottom>
    </border>
    <border>
      <right/>
      <bottom style="thick">
        <color rgb="FFFFFFFF"/>
      </bottom>
    </border>
    <border>
      <left/>
    </border>
    <border>
      <right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1" numFmtId="14" xfId="0" applyFont="1" applyNumberFormat="1"/>
    <xf borderId="0" fillId="0" fontId="3" numFmtId="0" xfId="0" applyFont="1"/>
    <xf borderId="0" fillId="0" fontId="4" numFmtId="0" xfId="0" applyAlignment="1" applyFont="1">
      <alignment readingOrder="0" vertical="center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49" xfId="0" applyFont="1" applyNumberFormat="1"/>
    <xf borderId="0" fillId="0" fontId="7" numFmtId="49" xfId="0" applyAlignment="1" applyFont="1" applyNumberFormat="1">
      <alignment readingOrder="0"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3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1" numFmtId="0" xfId="0" applyFont="1"/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5" numFmtId="0" xfId="0" applyFont="1"/>
    <xf borderId="4" fillId="2" fontId="15" numFmtId="0" xfId="0" applyBorder="1" applyFont="1"/>
    <xf borderId="4" fillId="2" fontId="16" numFmtId="0" xfId="0" applyBorder="1" applyFont="1"/>
    <xf borderId="0" fillId="0" fontId="16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4" fillId="3" fontId="17" numFmtId="0" xfId="0" applyAlignment="1" applyBorder="1" applyFill="1" applyFont="1">
      <alignment horizontal="left" vertical="center"/>
    </xf>
    <xf borderId="1" fillId="3" fontId="17" numFmtId="0" xfId="0" applyAlignment="1" applyBorder="1" applyFon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0" fillId="0" fontId="18" numFmtId="0" xfId="0" applyAlignment="1" applyFont="1">
      <alignment horizontal="left"/>
    </xf>
    <xf borderId="0" fillId="0" fontId="19" numFmtId="0" xfId="0" applyAlignment="1" applyFont="1">
      <alignment horizontal="left"/>
    </xf>
    <xf borderId="5" fillId="4" fontId="20" numFmtId="0" xfId="0" applyAlignment="1" applyBorder="1" applyFill="1" applyFont="1">
      <alignment readingOrder="0" shrinkToFit="0" vertical="center" wrapText="1"/>
    </xf>
    <xf borderId="6" fillId="4" fontId="16" numFmtId="0" xfId="0" applyAlignment="1" applyBorder="1" applyFont="1">
      <alignment horizontal="right" readingOrder="0" vertical="center"/>
    </xf>
    <xf borderId="7" fillId="0" fontId="2" numFmtId="0" xfId="0" applyBorder="1" applyFont="1"/>
    <xf borderId="5" fillId="4" fontId="20" numFmtId="164" xfId="0" applyAlignment="1" applyBorder="1" applyFont="1" applyNumberFormat="1">
      <alignment horizontal="right" vertical="center"/>
    </xf>
    <xf borderId="0" fillId="0" fontId="21" numFmtId="0" xfId="0" applyAlignment="1" applyFont="1">
      <alignment vertical="center"/>
    </xf>
    <xf borderId="0" fillId="0" fontId="7" numFmtId="49" xfId="0" applyAlignment="1" applyFont="1" applyNumberFormat="1">
      <alignment horizontal="left" readingOrder="0" vertical="top"/>
    </xf>
    <xf borderId="0" fillId="0" fontId="7" numFmtId="49" xfId="0" applyAlignment="1" applyFont="1" applyNumberFormat="1">
      <alignment horizontal="left" vertical="top"/>
    </xf>
    <xf borderId="5" fillId="5" fontId="20" numFmtId="0" xfId="0" applyAlignment="1" applyBorder="1" applyFill="1" applyFont="1">
      <alignment readingOrder="0" shrinkToFit="0" vertical="center" wrapText="1"/>
    </xf>
    <xf borderId="8" fillId="5" fontId="16" numFmtId="0" xfId="0" applyAlignment="1" applyBorder="1" applyFont="1">
      <alignment horizontal="right" readingOrder="0" vertical="center"/>
    </xf>
    <xf borderId="9" fillId="0" fontId="2" numFmtId="0" xfId="0" applyBorder="1" applyFont="1"/>
    <xf borderId="5" fillId="5" fontId="20" numFmtId="164" xfId="0" applyAlignment="1" applyBorder="1" applyFont="1" applyNumberFormat="1">
      <alignment horizontal="right" vertical="center"/>
    </xf>
    <xf borderId="4" fillId="2" fontId="18" numFmtId="49" xfId="0" applyAlignment="1" applyBorder="1" applyFont="1" applyNumberFormat="1">
      <alignment horizontal="left" readingOrder="0"/>
    </xf>
    <xf borderId="0" fillId="0" fontId="11" numFmtId="0" xfId="0" applyAlignment="1" applyFont="1">
      <alignment vertical="center"/>
    </xf>
    <xf borderId="6" fillId="4" fontId="20" numFmtId="164" xfId="0" applyAlignment="1" applyBorder="1" applyFont="1" applyNumberFormat="1">
      <alignment horizontal="right" vertical="center"/>
    </xf>
    <xf borderId="10" fillId="5" fontId="16" numFmtId="0" xfId="0" applyAlignment="1" applyBorder="1" applyFont="1">
      <alignment horizontal="right" readingOrder="0" vertical="center"/>
    </xf>
    <xf borderId="11" fillId="5" fontId="16" numFmtId="0" xfId="0" applyAlignment="1" applyBorder="1" applyFont="1">
      <alignment horizontal="right" readingOrder="0" vertical="center"/>
    </xf>
    <xf borderId="12" fillId="0" fontId="2" numFmtId="0" xfId="0" applyBorder="1" applyFont="1"/>
    <xf borderId="4" fillId="2" fontId="3" numFmtId="0" xfId="0" applyAlignment="1" applyBorder="1" applyFont="1">
      <alignment vertical="center"/>
    </xf>
    <xf borderId="4" fillId="2" fontId="11" numFmtId="0" xfId="0" applyAlignment="1" applyBorder="1" applyFont="1">
      <alignment horizontal="left"/>
    </xf>
    <xf borderId="4" fillId="2" fontId="9" numFmtId="0" xfId="0" applyAlignment="1" applyBorder="1" applyFont="1">
      <alignment vertical="center"/>
    </xf>
    <xf borderId="4" fillId="2" fontId="16" numFmtId="0" xfId="0" applyAlignment="1" applyBorder="1" applyFont="1">
      <alignment vertical="center"/>
    </xf>
    <xf borderId="13" fillId="5" fontId="16" numFmtId="0" xfId="0" applyAlignment="1" applyBorder="1" applyFont="1">
      <alignment horizontal="right" readingOrder="0" vertical="center"/>
    </xf>
    <xf borderId="14" fillId="0" fontId="2" numFmtId="0" xfId="0" applyBorder="1" applyFont="1"/>
    <xf borderId="6" fillId="5" fontId="16" numFmtId="0" xfId="0" applyAlignment="1" applyBorder="1" applyFont="1">
      <alignment horizontal="right" readingOrder="0" vertical="center"/>
    </xf>
    <xf borderId="4" fillId="2" fontId="11" numFmtId="14" xfId="0" applyAlignment="1" applyBorder="1" applyFont="1" applyNumberFormat="1">
      <alignment horizontal="right" vertical="center"/>
    </xf>
    <xf borderId="4" fillId="2" fontId="11" numFmtId="0" xfId="0" applyAlignment="1" applyBorder="1" applyFont="1">
      <alignment vertical="center"/>
    </xf>
    <xf borderId="4" fillId="2" fontId="22" numFmtId="0" xfId="0" applyBorder="1" applyFont="1"/>
    <xf borderId="4" fillId="2" fontId="18" numFmtId="165" xfId="0" applyAlignment="1" applyBorder="1" applyFont="1" applyNumberFormat="1">
      <alignment horizontal="right"/>
    </xf>
    <xf borderId="4" fillId="2" fontId="22" numFmtId="165" xfId="0" applyBorder="1" applyFont="1" applyNumberFormat="1"/>
    <xf borderId="4" fillId="2" fontId="23" numFmtId="164" xfId="0" applyAlignment="1" applyBorder="1" applyFont="1" applyNumberFormat="1">
      <alignment horizontal="right" readingOrder="0"/>
    </xf>
    <xf borderId="15" fillId="2" fontId="22" numFmtId="0" xfId="0" applyBorder="1" applyFont="1"/>
    <xf borderId="15" fillId="2" fontId="18" numFmtId="165" xfId="0" applyAlignment="1" applyBorder="1" applyFont="1" applyNumberFormat="1">
      <alignment horizontal="right"/>
    </xf>
    <xf borderId="15" fillId="2" fontId="22" numFmtId="165" xfId="0" applyBorder="1" applyFont="1" applyNumberFormat="1"/>
    <xf borderId="15" fillId="2" fontId="23" numFmtId="49" xfId="0" applyAlignment="1" applyBorder="1" applyFont="1" applyNumberFormat="1">
      <alignment horizontal="right"/>
    </xf>
    <xf borderId="0" fillId="0" fontId="23" numFmtId="0" xfId="0" applyFont="1"/>
    <xf borderId="0" fillId="0" fontId="18" numFmtId="0" xfId="0" applyAlignment="1" applyFont="1">
      <alignment horizontal="right"/>
    </xf>
    <xf borderId="0" fillId="0" fontId="16" numFmtId="0" xfId="0" applyFont="1"/>
    <xf borderId="0" fillId="0" fontId="24" numFmtId="164" xfId="0" applyAlignment="1" applyFont="1" applyNumberFormat="1">
      <alignment horizontal="right"/>
    </xf>
    <xf borderId="0" fillId="0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8" numFmtId="0" xfId="0" applyFont="1"/>
    <xf borderId="4" fillId="2" fontId="1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38100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erdeg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1.71"/>
    <col customWidth="1" min="3" max="3" width="4.71"/>
    <col customWidth="1" min="4" max="4" width="45.71"/>
    <col customWidth="1" min="5" max="5" width="6.43"/>
    <col customWidth="1" min="6" max="6" width="3.43"/>
    <col customWidth="1" min="7" max="7" width="10.0"/>
    <col customWidth="1" min="8" max="8" width="8.29"/>
  </cols>
  <sheetData>
    <row r="1" ht="24.75" customHeight="1">
      <c r="A1" s="1"/>
      <c r="B1" s="2"/>
      <c r="C1" s="2"/>
      <c r="D1" s="2"/>
      <c r="E1" s="2"/>
      <c r="F1" s="2"/>
      <c r="G1" s="2"/>
      <c r="H1" s="3"/>
    </row>
    <row r="2" ht="26.25" customHeight="1">
      <c r="A2" s="4"/>
      <c r="B2" s="4"/>
      <c r="C2" s="4"/>
      <c r="D2" s="5"/>
      <c r="E2" s="4"/>
      <c r="F2" s="4"/>
      <c r="G2" s="4"/>
      <c r="H2" s="4"/>
    </row>
    <row r="3" ht="29.25" customHeight="1">
      <c r="A3" s="6"/>
      <c r="B3" s="7" t="s">
        <v>0</v>
      </c>
      <c r="E3" s="8"/>
      <c r="H3" s="6"/>
    </row>
    <row r="4" ht="29.25" customHeight="1">
      <c r="A4" s="6"/>
      <c r="B4" s="9"/>
      <c r="C4" s="9"/>
      <c r="D4" s="9"/>
      <c r="H4" s="6"/>
    </row>
    <row r="5" ht="14.25" customHeight="1">
      <c r="A5" s="6"/>
      <c r="B5" s="10" t="s">
        <v>1</v>
      </c>
      <c r="C5" s="11"/>
      <c r="D5" s="12">
        <f>381608080672</f>
        <v>381608080672</v>
      </c>
      <c r="H5" s="6"/>
    </row>
    <row r="6" ht="14.25" customHeight="1">
      <c r="A6" s="6"/>
      <c r="B6" s="10" t="s">
        <v>2</v>
      </c>
      <c r="C6" s="11"/>
      <c r="D6" s="10" t="s">
        <v>3</v>
      </c>
      <c r="H6" s="6"/>
    </row>
    <row r="7" ht="14.25" customHeight="1">
      <c r="A7" s="6"/>
      <c r="B7" s="13" t="s">
        <v>4</v>
      </c>
      <c r="C7" s="14"/>
      <c r="D7" s="15" t="s">
        <v>5</v>
      </c>
      <c r="H7" s="6"/>
    </row>
    <row r="8" ht="16.5" customHeight="1">
      <c r="A8" s="16"/>
      <c r="B8" s="17" t="s">
        <v>6</v>
      </c>
      <c r="D8" s="18"/>
      <c r="H8" s="16"/>
    </row>
    <row r="9" ht="18.0" customHeight="1">
      <c r="A9" s="6"/>
      <c r="B9" s="19"/>
      <c r="C9" s="19"/>
      <c r="D9" s="4"/>
      <c r="E9" s="4"/>
      <c r="F9" s="4"/>
      <c r="G9" s="4"/>
      <c r="H9" s="6"/>
    </row>
    <row r="10" ht="30.75" customHeight="1">
      <c r="A10" s="6"/>
      <c r="B10" s="20" t="s">
        <v>7</v>
      </c>
      <c r="C10" s="19"/>
      <c r="D10" s="4"/>
      <c r="E10" s="4"/>
      <c r="F10" s="4"/>
      <c r="G10" s="4"/>
      <c r="H10" s="6"/>
    </row>
    <row r="11" ht="22.5" customHeight="1">
      <c r="A11" s="6"/>
      <c r="B11" s="21" t="s">
        <v>8</v>
      </c>
      <c r="C11" s="19"/>
      <c r="D11" s="4"/>
      <c r="E11" s="4"/>
      <c r="F11" s="4"/>
      <c r="G11" s="4"/>
      <c r="H11" s="6"/>
    </row>
    <row r="12" ht="12.75" customHeight="1">
      <c r="A12" s="6"/>
      <c r="B12" s="10" t="s">
        <v>9</v>
      </c>
      <c r="C12" s="19"/>
      <c r="D12" s="4"/>
      <c r="E12" s="4"/>
      <c r="F12" s="4"/>
      <c r="G12" s="4"/>
      <c r="H12" s="6"/>
    </row>
    <row r="13" ht="15.75" customHeight="1">
      <c r="A13" s="6"/>
      <c r="B13" s="10" t="s">
        <v>10</v>
      </c>
      <c r="C13" s="19"/>
      <c r="D13" s="4"/>
      <c r="E13" s="4"/>
      <c r="F13" s="4"/>
      <c r="G13" s="4"/>
      <c r="H13" s="6"/>
    </row>
    <row r="14" ht="15.75" customHeight="1">
      <c r="A14" s="6"/>
      <c r="B14" s="10" t="s">
        <v>11</v>
      </c>
      <c r="C14" s="19"/>
      <c r="D14" s="4"/>
      <c r="E14" s="4"/>
      <c r="F14" s="4"/>
      <c r="G14" s="4"/>
      <c r="H14" s="6"/>
    </row>
    <row r="15" ht="15.75" customHeight="1">
      <c r="A15" s="6"/>
      <c r="B15" s="11"/>
      <c r="C15" s="19"/>
      <c r="D15" s="4"/>
      <c r="E15" s="4"/>
      <c r="F15" s="4"/>
      <c r="G15" s="4"/>
      <c r="H15" s="6"/>
    </row>
    <row r="16" ht="10.5" customHeight="1">
      <c r="A16" s="6"/>
      <c r="B16" s="22"/>
      <c r="H16" s="6"/>
    </row>
    <row r="17" ht="1.5" customHeight="1">
      <c r="A17" s="16"/>
      <c r="B17" s="20" t="s">
        <v>12</v>
      </c>
      <c r="C17" s="23"/>
      <c r="D17" s="24"/>
      <c r="E17" s="25"/>
      <c r="F17" s="25"/>
      <c r="G17" s="25"/>
      <c r="H17" s="26"/>
    </row>
    <row r="18" ht="28.5" customHeight="1">
      <c r="A18" s="27"/>
      <c r="D18" s="28" t="s">
        <v>13</v>
      </c>
      <c r="E18" s="29" t="s">
        <v>14</v>
      </c>
      <c r="F18" s="3"/>
      <c r="G18" s="28" t="s">
        <v>15</v>
      </c>
      <c r="H18" s="30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4.5" customHeight="1">
      <c r="A19" s="16"/>
      <c r="D19" s="23"/>
      <c r="H19" s="26"/>
    </row>
    <row r="20" ht="33.0" customHeight="1">
      <c r="A20" s="16"/>
      <c r="B20" s="32" t="s">
        <v>16</v>
      </c>
      <c r="C20" s="33"/>
      <c r="D20" s="34" t="s">
        <v>17</v>
      </c>
      <c r="E20" s="35"/>
      <c r="F20" s="36"/>
      <c r="G20" s="37"/>
      <c r="H20" s="26"/>
    </row>
    <row r="21" ht="27.75" customHeight="1">
      <c r="A21" s="38"/>
      <c r="B21" s="39" t="s">
        <v>18</v>
      </c>
      <c r="C21" s="40"/>
      <c r="D21" s="41" t="s">
        <v>19</v>
      </c>
      <c r="E21" s="42">
        <v>1.0</v>
      </c>
      <c r="F21" s="43"/>
      <c r="G21" s="44">
        <f>G35*E21</f>
        <v>15.5</v>
      </c>
      <c r="H21" s="26"/>
    </row>
    <row r="22" ht="22.5" customHeight="1">
      <c r="A22" s="16"/>
      <c r="B22" s="45" t="s">
        <v>20</v>
      </c>
      <c r="C22" s="40"/>
      <c r="D22" s="41" t="s">
        <v>21</v>
      </c>
      <c r="E22" s="42">
        <v>3.0</v>
      </c>
      <c r="F22" s="43"/>
      <c r="G22" s="44">
        <f>G35*E22</f>
        <v>46.5</v>
      </c>
      <c r="H22" s="26"/>
    </row>
    <row r="23" ht="29.25" customHeight="1">
      <c r="A23" s="16"/>
      <c r="B23" s="13" t="s">
        <v>22</v>
      </c>
      <c r="C23" s="46"/>
      <c r="D23" s="41" t="s">
        <v>23</v>
      </c>
      <c r="E23" s="42">
        <v>0.45</v>
      </c>
      <c r="F23" s="43"/>
      <c r="G23" s="44">
        <f>G35*E23</f>
        <v>6.975</v>
      </c>
      <c r="H23" s="26"/>
    </row>
    <row r="24" ht="31.5" customHeight="1">
      <c r="A24" s="16"/>
      <c r="B24" s="19"/>
      <c r="C24" s="19"/>
      <c r="D24" s="34" t="s">
        <v>24</v>
      </c>
      <c r="E24" s="47"/>
      <c r="F24" s="36"/>
      <c r="G24" s="37"/>
      <c r="H24" s="26"/>
    </row>
    <row r="25" ht="23.25" customHeight="1">
      <c r="A25" s="16"/>
      <c r="B25" s="19"/>
      <c r="C25" s="19"/>
      <c r="D25" s="41" t="s">
        <v>25</v>
      </c>
      <c r="E25" s="42">
        <v>0.5</v>
      </c>
      <c r="F25" s="43"/>
      <c r="G25" s="44">
        <f>G35*E25</f>
        <v>7.75</v>
      </c>
      <c r="H25" s="26"/>
    </row>
    <row r="26" ht="23.25" customHeight="1">
      <c r="A26" s="16"/>
      <c r="B26" s="19"/>
      <c r="C26" s="19"/>
      <c r="D26" s="41" t="s">
        <v>26</v>
      </c>
      <c r="E26" s="42">
        <v>0.5</v>
      </c>
      <c r="F26" s="43"/>
      <c r="G26" s="44">
        <f>G35*E26</f>
        <v>7.75</v>
      </c>
      <c r="H26" s="26"/>
    </row>
    <row r="27" ht="23.25" customHeight="1">
      <c r="A27" s="16"/>
      <c r="B27" s="19"/>
      <c r="C27" s="19"/>
      <c r="D27" s="41" t="s">
        <v>27</v>
      </c>
      <c r="E27" s="42">
        <v>9.5</v>
      </c>
      <c r="F27" s="43"/>
      <c r="G27" s="44">
        <f>G35*E27</f>
        <v>147.25</v>
      </c>
      <c r="H27" s="26"/>
    </row>
    <row r="28" ht="23.25" customHeight="1">
      <c r="A28" s="16"/>
      <c r="B28" s="19"/>
      <c r="C28" s="19"/>
      <c r="D28" s="41" t="s">
        <v>28</v>
      </c>
      <c r="E28" s="48"/>
      <c r="F28" s="48">
        <v>1.1</v>
      </c>
      <c r="G28" s="44">
        <f>G35*F28</f>
        <v>17.05</v>
      </c>
      <c r="H28" s="26"/>
    </row>
    <row r="29" ht="23.25" customHeight="1">
      <c r="A29" s="16"/>
      <c r="B29" s="19"/>
      <c r="C29" s="19"/>
      <c r="D29" s="41" t="s">
        <v>29</v>
      </c>
      <c r="E29" s="42">
        <v>0.5</v>
      </c>
      <c r="F29" s="43"/>
      <c r="G29" s="44">
        <f>G36*E29</f>
        <v>8.775</v>
      </c>
      <c r="H29" s="26"/>
    </row>
    <row r="30" ht="29.25" customHeight="1">
      <c r="A30" s="16"/>
      <c r="B30" s="19"/>
      <c r="C30" s="19"/>
      <c r="D30" s="34" t="s">
        <v>30</v>
      </c>
      <c r="E30" s="47"/>
      <c r="F30" s="36"/>
      <c r="G30" s="37"/>
      <c r="H30" s="26"/>
    </row>
    <row r="31" ht="22.5" customHeight="1">
      <c r="A31" s="16"/>
      <c r="B31" s="19"/>
      <c r="C31" s="19"/>
      <c r="D31" s="41" t="s">
        <v>31</v>
      </c>
      <c r="E31" s="49">
        <v>0.4</v>
      </c>
      <c r="F31" s="50"/>
      <c r="G31" s="44">
        <f>G35*E31</f>
        <v>6.2</v>
      </c>
      <c r="H31" s="26"/>
    </row>
    <row r="32" ht="32.25" customHeight="1">
      <c r="A32" s="51"/>
      <c r="B32" s="52"/>
      <c r="C32" s="53"/>
      <c r="D32" s="34" t="s">
        <v>32</v>
      </c>
      <c r="E32" s="47"/>
      <c r="F32" s="36"/>
      <c r="G32" s="37"/>
      <c r="H32" s="54"/>
    </row>
    <row r="33" ht="23.25" customHeight="1">
      <c r="A33" s="51"/>
      <c r="B33" s="52"/>
      <c r="C33" s="53"/>
      <c r="D33" s="41" t="s">
        <v>28</v>
      </c>
      <c r="E33" s="55">
        <v>0.9</v>
      </c>
      <c r="F33" s="56"/>
      <c r="G33" s="44">
        <f>G35*E33</f>
        <v>13.95</v>
      </c>
      <c r="H33" s="54"/>
    </row>
    <row r="34" ht="23.25" customHeight="1">
      <c r="A34" s="51"/>
      <c r="B34" s="52"/>
      <c r="C34" s="53"/>
      <c r="D34" s="41" t="s">
        <v>33</v>
      </c>
      <c r="E34" s="57">
        <v>0.8</v>
      </c>
      <c r="F34" s="36"/>
      <c r="G34" s="44">
        <f>G35*E34</f>
        <v>12.4</v>
      </c>
      <c r="H34" s="54"/>
    </row>
    <row r="35" ht="96.75" customHeight="1">
      <c r="A35" s="51"/>
      <c r="B35" s="58"/>
      <c r="C35" s="59"/>
      <c r="D35" s="60"/>
      <c r="E35" s="61" t="s">
        <v>34</v>
      </c>
      <c r="F35" s="62"/>
      <c r="G35" s="63">
        <v>15.5</v>
      </c>
      <c r="H35" s="54"/>
    </row>
    <row r="36" ht="22.5" customHeight="1">
      <c r="A36" s="51"/>
      <c r="B36" s="58"/>
      <c r="C36" s="59"/>
      <c r="D36" s="64"/>
      <c r="E36" s="65" t="s">
        <v>35</v>
      </c>
      <c r="F36" s="66"/>
      <c r="G36" s="67">
        <f>SUM(E21:E34)</f>
        <v>17.55</v>
      </c>
      <c r="H36" s="54"/>
    </row>
    <row r="37" ht="19.5" hidden="1" customHeight="1">
      <c r="A37" s="16"/>
      <c r="B37" s="11"/>
      <c r="C37" s="11"/>
      <c r="D37" s="11"/>
      <c r="E37" s="68"/>
      <c r="F37" s="68"/>
      <c r="G37" s="68"/>
      <c r="H37" s="26"/>
    </row>
    <row r="38" ht="17.25" customHeight="1">
      <c r="A38" s="6"/>
      <c r="B38" s="11"/>
      <c r="C38" s="11"/>
      <c r="D38" s="11"/>
      <c r="E38" s="69" t="s">
        <v>36</v>
      </c>
      <c r="H38" s="70"/>
    </row>
    <row r="39" ht="25.5" customHeight="1">
      <c r="A39" s="6"/>
      <c r="E39" s="71">
        <f>G36*G35</f>
        <v>272.025</v>
      </c>
      <c r="H39" s="6"/>
    </row>
    <row r="40" ht="21.75" customHeight="1">
      <c r="A40" s="72"/>
      <c r="H40" s="72"/>
    </row>
    <row r="41" ht="23.25" customHeight="1">
      <c r="A41" s="73"/>
      <c r="B41" s="74" t="s">
        <v>37</v>
      </c>
      <c r="H41" s="73"/>
    </row>
    <row r="42" ht="18.0" customHeight="1">
      <c r="A42" s="73"/>
      <c r="B42" s="10" t="s">
        <v>38</v>
      </c>
      <c r="H42" s="73"/>
    </row>
    <row r="43" ht="18.0" customHeight="1">
      <c r="A43" s="73"/>
      <c r="B43" s="10" t="s">
        <v>39</v>
      </c>
      <c r="H43" s="73"/>
    </row>
    <row r="44" ht="18.0" customHeight="1">
      <c r="A44" s="73"/>
      <c r="B44" s="10" t="s">
        <v>40</v>
      </c>
      <c r="H44" s="73"/>
    </row>
    <row r="45" ht="18.0" customHeight="1">
      <c r="A45" s="75"/>
      <c r="B45" s="22"/>
      <c r="C45" s="22"/>
      <c r="D45" s="22"/>
      <c r="E45" s="11"/>
      <c r="H45" s="22"/>
    </row>
    <row r="46" ht="7.5" customHeight="1">
      <c r="A46" s="76"/>
      <c r="B46" s="2"/>
      <c r="C46" s="2"/>
      <c r="D46" s="2"/>
      <c r="E46" s="2"/>
      <c r="F46" s="2"/>
      <c r="G46" s="2"/>
      <c r="H46" s="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1">
    <mergeCell ref="A1:H1"/>
    <mergeCell ref="B3:D3"/>
    <mergeCell ref="E3:G8"/>
    <mergeCell ref="B8:C8"/>
    <mergeCell ref="B16:G16"/>
    <mergeCell ref="B17:B19"/>
    <mergeCell ref="C17:C19"/>
    <mergeCell ref="E18:F18"/>
    <mergeCell ref="D19:G19"/>
    <mergeCell ref="E20:F20"/>
    <mergeCell ref="E21:F21"/>
    <mergeCell ref="E22:F22"/>
    <mergeCell ref="E23:F23"/>
    <mergeCell ref="E24:F24"/>
    <mergeCell ref="E25:F25"/>
    <mergeCell ref="E26:F26"/>
    <mergeCell ref="E27:F27"/>
    <mergeCell ref="E29:F29"/>
    <mergeCell ref="E30:F30"/>
    <mergeCell ref="E31:F31"/>
    <mergeCell ref="E32:F32"/>
    <mergeCell ref="B44:D44"/>
    <mergeCell ref="E45:G45"/>
    <mergeCell ref="A46:H46"/>
    <mergeCell ref="E33:F33"/>
    <mergeCell ref="E34:F34"/>
    <mergeCell ref="E38:G38"/>
    <mergeCell ref="E39:G39"/>
    <mergeCell ref="B41:D41"/>
    <mergeCell ref="B42:D42"/>
    <mergeCell ref="B43:D43"/>
  </mergeCells>
  <hyperlinks>
    <hyperlink r:id="rId1" ref="D7"/>
  </hyperlinks>
  <printOptions/>
  <pageMargins bottom="0.75" footer="0.0" header="0.0" left="0.7" right="0.7" top="0.75"/>
  <pageSetup paperSize="9" orientation="portrait"/>
  <drawing r:id="rId2"/>
</worksheet>
</file>